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animozhi\Downloads\"/>
    </mc:Choice>
  </mc:AlternateContent>
  <xr:revisionPtr revIDLastSave="0" documentId="13_ncr:1_{308530BD-CA66-4CAD-A6DE-34EC3D28E41E}" xr6:coauthVersionLast="47" xr6:coauthVersionMax="47" xr10:uidLastSave="{00000000-0000-0000-0000-000000000000}"/>
  <bookViews>
    <workbookView xWindow="1060" yWindow="1060" windowWidth="14640" windowHeight="8580" xr2:uid="{00000000-000D-0000-FFFF-FFFF00000000}"/>
  </bookViews>
  <sheets>
    <sheet name="Inputs" sheetId="1" r:id="rId1"/>
    <sheet name="Annual repayments" sheetId="2" r:id="rId2"/>
    <sheet name="Regions" sheetId="3" r:id="rId3"/>
  </sheets>
  <definedNames>
    <definedName name="Deposit">Inputs!$D$8</definedName>
    <definedName name="HousePrice">Inputs!$D$7</definedName>
    <definedName name="InitialMortgage">Inputs!$D$9</definedName>
    <definedName name="Interest">Inputs!$D$11</definedName>
    <definedName name="Region_of_country">Regions!$A$1:$A$10</definedName>
    <definedName name="Term">Inputs!$D$12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9" i="1" l="1"/>
  <c r="C4" i="2" s="1"/>
  <c r="C26" i="2" l="1"/>
  <c r="C27" i="2"/>
  <c r="C25" i="2"/>
  <c r="D24" i="2"/>
  <c r="E24" i="2" s="1"/>
  <c r="C24" i="2"/>
  <c r="C23" i="2"/>
  <c r="D26" i="2"/>
  <c r="D22" i="2"/>
  <c r="D4" i="2"/>
  <c r="E4" i="2" s="1"/>
  <c r="D27" i="2"/>
  <c r="D25" i="2"/>
  <c r="D14" i="1"/>
  <c r="D20" i="2"/>
  <c r="D3" i="2"/>
  <c r="C3" i="2"/>
  <c r="B3" i="2"/>
  <c r="D23" i="2"/>
  <c r="C22" i="2"/>
  <c r="C20" i="2"/>
  <c r="C8" i="2"/>
  <c r="D21" i="2"/>
  <c r="C21" i="2"/>
  <c r="C19" i="2"/>
  <c r="C18" i="2"/>
  <c r="C17" i="2"/>
  <c r="D16" i="2"/>
  <c r="C15" i="2"/>
  <c r="D17" i="2"/>
  <c r="C16" i="2"/>
  <c r="D14" i="2"/>
  <c r="C13" i="2"/>
  <c r="C14" i="2"/>
  <c r="C12" i="2"/>
  <c r="D8" i="2"/>
  <c r="D11" i="2"/>
  <c r="C11" i="2"/>
  <c r="D10" i="2"/>
  <c r="C10" i="2"/>
  <c r="D15" i="2"/>
  <c r="D9" i="2"/>
  <c r="C9" i="2"/>
  <c r="D19" i="2"/>
  <c r="D13" i="2"/>
  <c r="D7" i="2"/>
  <c r="C7" i="2"/>
  <c r="D18" i="2"/>
  <c r="D12" i="2"/>
  <c r="D6" i="2"/>
  <c r="C6" i="2"/>
  <c r="D5" i="2"/>
  <c r="C5" i="2"/>
  <c r="E15" i="2" l="1"/>
  <c r="E25" i="2"/>
  <c r="E23" i="2"/>
  <c r="E13" i="2"/>
  <c r="E3" i="2"/>
  <c r="F3" i="2" s="1"/>
  <c r="B4" i="2" s="1"/>
  <c r="B5" i="2" s="1"/>
  <c r="B6" i="2" s="1"/>
  <c r="E26" i="2"/>
  <c r="E27" i="2"/>
  <c r="E20" i="2"/>
  <c r="E22" i="2"/>
  <c r="E21" i="2"/>
  <c r="E16" i="2"/>
  <c r="E8" i="2"/>
  <c r="E17" i="2"/>
  <c r="E19" i="2"/>
  <c r="E12" i="2"/>
  <c r="E18" i="2"/>
  <c r="E7" i="2"/>
  <c r="E14" i="2"/>
  <c r="E10" i="2"/>
  <c r="E11" i="2"/>
  <c r="E6" i="2"/>
  <c r="E9" i="2"/>
  <c r="E5" i="2"/>
  <c r="F5" i="2" l="1"/>
  <c r="F4" i="2"/>
  <c r="F6" i="2"/>
  <c r="B7" i="2"/>
  <c r="B8" i="2" l="1"/>
  <c r="F7" i="2"/>
  <c r="F8" i="2" l="1"/>
  <c r="B9" i="2"/>
  <c r="B10" i="2" l="1"/>
  <c r="F9" i="2"/>
  <c r="F10" i="2" l="1"/>
  <c r="B11" i="2"/>
  <c r="B12" i="2" l="1"/>
  <c r="F11" i="2"/>
  <c r="F12" i="2" l="1"/>
  <c r="B13" i="2"/>
  <c r="B14" i="2" l="1"/>
  <c r="F13" i="2"/>
  <c r="F14" i="2" l="1"/>
  <c r="B15" i="2"/>
  <c r="B16" i="2" l="1"/>
  <c r="F15" i="2"/>
  <c r="F16" i="2" l="1"/>
  <c r="B17" i="2"/>
  <c r="B18" i="2" l="1"/>
  <c r="F17" i="2"/>
  <c r="F18" i="2" l="1"/>
  <c r="B19" i="2"/>
  <c r="B20" i="2" l="1"/>
  <c r="F19" i="2"/>
  <c r="F20" i="2" l="1"/>
  <c r="B21" i="2"/>
  <c r="B22" i="2" l="1"/>
  <c r="F21" i="2"/>
  <c r="F22" i="2" l="1"/>
  <c r="B23" i="2"/>
  <c r="B24" i="2" l="1"/>
  <c r="F23" i="2"/>
  <c r="F24" i="2" l="1"/>
  <c r="B25" i="2"/>
  <c r="B26" i="2" l="1"/>
  <c r="F25" i="2"/>
  <c r="F26" i="2" l="1"/>
  <c r="B27" i="2"/>
  <c r="F27" i="2" s="1"/>
</calcChain>
</file>

<file path=xl/sharedStrings.xml><?xml version="1.0" encoding="utf-8"?>
<sst xmlns="http://schemas.openxmlformats.org/spreadsheetml/2006/main" count="23" uniqueCount="21">
  <si>
    <t>Mortgage Details</t>
  </si>
  <si>
    <t>House price</t>
  </si>
  <si>
    <t>Deposit</t>
  </si>
  <si>
    <t>Interest</t>
  </si>
  <si>
    <t>Year</t>
  </si>
  <si>
    <t>Outstanding</t>
  </si>
  <si>
    <t>Principal</t>
  </si>
  <si>
    <t>Payable</t>
  </si>
  <si>
    <t>Total monthly repayment</t>
  </si>
  <si>
    <t>Term of mortgage</t>
  </si>
  <si>
    <t>Remaining</t>
  </si>
  <si>
    <t>Region of country</t>
  </si>
  <si>
    <t>Mid Wales</t>
  </si>
  <si>
    <t>South Wales</t>
  </si>
  <si>
    <t>North West</t>
  </si>
  <si>
    <t>North East</t>
  </si>
  <si>
    <t>Midlands</t>
  </si>
  <si>
    <t>South West</t>
  </si>
  <si>
    <t>South East</t>
  </si>
  <si>
    <t>Scotland</t>
  </si>
  <si>
    <t>Northern Ireland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</si>
</sst>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£&quot;#,##0_);\(&quot;£&quot;#,##0\)"/>
    <numFmt numFmtId="165" formatCode="&quot;£&quot;#,##0.00_);\(&quot;£&quot;#,##0.00\)"/>
    <numFmt numFmtId="166" formatCode="_(&quot;£&quot;* #,##0.00_);_(&quot;£&quot;* \(#,##0.00\);_(&quot;£&quot;* &quot;-&quot;??_);_(@_)"/>
    <numFmt numFmtId="167" formatCode="_(* #,##0.00_);_(* \(#,##0.00\);_(* &quot;-&quot;??_);_(@_)"/>
    <numFmt numFmtId="168" formatCode="&quot;£&quot;#,##0"/>
  </numFmts>
  <fonts count="11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2"/>
      <color indexed="9"/>
      <name val="Arial"/>
      <family val="2"/>
    </font>
    <font>
      <b/>
      <sz val="10"/>
      <color indexed="9"/>
      <name val="Arial"/>
      <family val="2"/>
    </font>
    <font>
      <i/>
      <sz val="10"/>
      <name val="Arial"/>
      <family val="2"/>
    </font>
    <font>
      <b/>
      <i/>
      <sz val="10"/>
      <name val="Arial"/>
      <family val="2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67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1" fillId="0" borderId="0" xfId="0" applyNumberFormat="1" applyFont="1" applyAlignment="1">
      <alignment horizontal="center"/>
    </xf>
    <xf numFmtId="165" fontId="1" fillId="0" borderId="0" xfId="0" applyNumberFormat="1" applyFont="1" applyAlignment="1">
      <alignment horizontal="center"/>
    </xf>
    <xf numFmtId="164" fontId="0" fillId="0" borderId="0" xfId="0" quotePrefix="1" applyNumberFormat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7" fillId="2" borderId="0" xfId="0" applyFont="1" applyFill="1" applyBorder="1" applyAlignment="1">
      <alignment horizontal="centerContinuous" vertical="center"/>
    </xf>
    <xf numFmtId="0" fontId="6" fillId="2" borderId="0" xfId="0" applyFont="1" applyFill="1" applyBorder="1" applyAlignment="1">
      <alignment horizontal="centerContinuous" vertical="center"/>
    </xf>
    <xf numFmtId="0" fontId="0" fillId="0" borderId="5" xfId="0" applyBorder="1"/>
    <xf numFmtId="0" fontId="4" fillId="0" borderId="0" xfId="0" applyFont="1" applyBorder="1" applyAlignment="1">
      <alignment horizontal="centerContinuous" vertical="center"/>
    </xf>
    <xf numFmtId="0" fontId="5" fillId="0" borderId="0" xfId="0" applyFont="1" applyBorder="1" applyAlignment="1">
      <alignment horizontal="centerContinuous" vertical="center"/>
    </xf>
    <xf numFmtId="10" fontId="0" fillId="0" borderId="0" xfId="3" applyNumberFormat="1" applyFont="1" applyBorder="1"/>
    <xf numFmtId="167" fontId="0" fillId="0" borderId="0" xfId="1" applyFont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8" fillId="0" borderId="0" xfId="0" applyFont="1" applyBorder="1" applyAlignment="1">
      <alignment horizontal="left"/>
    </xf>
    <xf numFmtId="0" fontId="9" fillId="0" borderId="0" xfId="0" applyFont="1" applyBorder="1" applyAlignment="1">
      <alignment horizontal="left"/>
    </xf>
    <xf numFmtId="168" fontId="2" fillId="0" borderId="0" xfId="2" applyNumberFormat="1" applyFont="1" applyBorder="1"/>
    <xf numFmtId="168" fontId="2" fillId="0" borderId="9" xfId="0" applyNumberFormat="1" applyFont="1" applyBorder="1"/>
    <xf numFmtId="0" fontId="8" fillId="0" borderId="0" xfId="0" applyFont="1"/>
    <xf numFmtId="0" fontId="3" fillId="3" borderId="0" xfId="0" applyFont="1" applyFill="1"/>
    <xf numFmtId="168" fontId="2" fillId="3" borderId="0" xfId="2" applyNumberFormat="1" applyFont="1" applyFill="1" applyBorder="1"/>
    <xf numFmtId="10" fontId="2" fillId="3" borderId="0" xfId="3" applyNumberFormat="1" applyFont="1" applyFill="1" applyBorder="1"/>
    <xf numFmtId="167" fontId="0" fillId="3" borderId="0" xfId="1" applyFont="1" applyFill="1" applyBorder="1"/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16</xdr:row>
          <xdr:rowOff>12700</xdr:rowOff>
        </xdr:from>
        <xdr:to>
          <xdr:col>4</xdr:col>
          <xdr:colOff>6350</xdr:colOff>
          <xdr:row>18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See schedule of annual repayments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E15"/>
  <sheetViews>
    <sheetView showGridLines="0" tabSelected="1" workbookViewId="0">
      <selection activeCell="D5" sqref="D5"/>
    </sheetView>
  </sheetViews>
  <sheetFormatPr defaultRowHeight="12.5" x14ac:dyDescent="0.25"/>
  <cols>
    <col min="1" max="1" width="4.1796875" customWidth="1"/>
    <col min="2" max="2" width="3.26953125" customWidth="1"/>
    <col min="3" max="3" width="20.81640625" customWidth="1"/>
    <col min="4" max="4" width="11.26953125" customWidth="1"/>
    <col min="5" max="5" width="3" customWidth="1"/>
  </cols>
  <sheetData>
    <row r="2" spans="2:5" x14ac:dyDescent="0.25">
      <c r="B2" s="8"/>
      <c r="C2" s="9"/>
      <c r="D2" s="9"/>
      <c r="E2" s="10"/>
    </row>
    <row r="3" spans="2:5" ht="15.5" x14ac:dyDescent="0.25">
      <c r="B3" s="11"/>
      <c r="C3" s="12" t="s">
        <v>0</v>
      </c>
      <c r="D3" s="13"/>
      <c r="E3" s="14"/>
    </row>
    <row r="4" spans="2:5" ht="6.75" customHeight="1" x14ac:dyDescent="0.25">
      <c r="B4" s="11"/>
      <c r="C4" s="15"/>
      <c r="D4" s="16"/>
      <c r="E4" s="14"/>
    </row>
    <row r="5" spans="2:5" ht="13.5" customHeight="1" x14ac:dyDescent="0.3">
      <c r="B5" s="11"/>
      <c r="C5" s="26" t="s">
        <v>11</v>
      </c>
      <c r="D5" s="27"/>
      <c r="E5" s="14"/>
    </row>
    <row r="6" spans="2:5" ht="13.5" customHeight="1" x14ac:dyDescent="0.3">
      <c r="B6" s="11"/>
      <c r="C6" s="22"/>
      <c r="D6" s="24"/>
      <c r="E6" s="14"/>
    </row>
    <row r="7" spans="2:5" ht="13.5" customHeight="1" x14ac:dyDescent="0.3">
      <c r="B7" s="11"/>
      <c r="C7" s="22" t="s">
        <v>1</v>
      </c>
      <c r="D7" s="28">
        <v>100000</v>
      </c>
      <c r="E7" s="14"/>
    </row>
    <row r="8" spans="2:5" ht="13" x14ac:dyDescent="0.3">
      <c r="B8" s="11"/>
      <c r="C8" s="22" t="s">
        <v>2</v>
      </c>
      <c r="D8" s="28">
        <v>10000</v>
      </c>
      <c r="E8" s="14"/>
    </row>
    <row r="9" spans="2:5" ht="13" x14ac:dyDescent="0.3">
      <c r="B9" s="11"/>
      <c r="C9" s="22"/>
      <c r="D9" s="25">
        <f>D7-D8</f>
        <v>90000</v>
      </c>
      <c r="E9" s="14"/>
    </row>
    <row r="10" spans="2:5" ht="13" x14ac:dyDescent="0.3">
      <c r="B10" s="11"/>
      <c r="C10" s="23"/>
      <c r="D10" s="17"/>
      <c r="E10" s="14"/>
    </row>
    <row r="11" spans="2:5" ht="13" x14ac:dyDescent="0.3">
      <c r="B11" s="11"/>
      <c r="C11" s="22" t="s">
        <v>3</v>
      </c>
      <c r="D11" s="29">
        <v>5.5E-2</v>
      </c>
      <c r="E11" s="14"/>
    </row>
    <row r="12" spans="2:5" ht="13" x14ac:dyDescent="0.3">
      <c r="B12" s="11"/>
      <c r="C12" s="22" t="s">
        <v>9</v>
      </c>
      <c r="D12" s="30">
        <v>25</v>
      </c>
      <c r="E12" s="14"/>
    </row>
    <row r="13" spans="2:5" ht="13" x14ac:dyDescent="0.3">
      <c r="B13" s="11"/>
      <c r="C13" s="22"/>
      <c r="D13" s="18"/>
      <c r="E13" s="14"/>
    </row>
    <row r="14" spans="2:5" ht="13" x14ac:dyDescent="0.3">
      <c r="B14" s="11"/>
      <c r="C14" s="22" t="s">
        <v>8</v>
      </c>
      <c r="D14" s="24">
        <f>-PMT(Interest,Term,InitialMortgage,0)/12</f>
        <v>559.12014709828884</v>
      </c>
      <c r="E14" s="14"/>
    </row>
    <row r="15" spans="2:5" x14ac:dyDescent="0.25">
      <c r="B15" s="19"/>
      <c r="C15" s="20"/>
      <c r="D15" s="20"/>
      <c r="E15" s="21"/>
    </row>
  </sheetData>
  <sheetProtection formatCells="0" formatColumns="0" formatRows="0"/>
  <sortState xmlns:xlrd2="http://schemas.microsoft.com/office/spreadsheetml/2017/richdata2" ref="C5">
    <sortCondition ref="C5"/>
  </sortState>
  <phoneticPr fontId="0" type="noConversion"/>
  <dataValidations count="4">
    <dataValidation type="whole" allowBlank="1" showInputMessage="1" showErrorMessage="1" errorTitle="Invalid house price" error="Your house price can't possibly cost this much!" sqref="D6" xr:uid="{00000000-0002-0000-0000-000000000000}">
      <formula1>0</formula1>
      <formula2>1000000</formula2>
    </dataValidation>
    <dataValidation type="whole" operator="lessThan" allowBlank="1" showInputMessage="1" showErrorMessage="1" errorTitle="Too flash" error="Your house can not possibly cost this much!" sqref="D7" xr:uid="{009D7A89-5248-4AF9-876F-07A505E7E9F2}">
      <formula1>500000</formula1>
    </dataValidation>
    <dataValidation type="whole" errorStyle="warning" operator="greaterThanOrEqual" allowBlank="1" showInputMessage="1" showErrorMessage="1" error="If this is all the deposit you can manage,should you really be buying a house?" sqref="D8" xr:uid="{4A81C866-2330-4B77-ADF3-C5E25FE55D30}">
      <formula1>10000</formula1>
    </dataValidation>
    <dataValidation type="list" allowBlank="1" showInputMessage="1" showErrorMessage="1" sqref="D5" xr:uid="{08A12CD7-45BE-45E2-A7B4-E61D3784E46E}">
      <formula1>Region_of_country</formula1>
    </dataValidation>
  </dataValidations>
  <printOptions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0</xdr:colOff>
                    <xdr:row>16</xdr:row>
                    <xdr:rowOff>12700</xdr:rowOff>
                  </from>
                  <to>
                    <xdr:col>4</xdr:col>
                    <xdr:colOff>6350</xdr:colOff>
                    <xdr:row>18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7"/>
  <sheetViews>
    <sheetView showGridLines="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defaultRowHeight="12.5" x14ac:dyDescent="0.25"/>
  <cols>
    <col min="1" max="1" width="5.1796875" customWidth="1"/>
    <col min="2" max="5" width="12.81640625" customWidth="1"/>
    <col min="6" max="6" width="14" customWidth="1"/>
  </cols>
  <sheetData>
    <row r="1" spans="1:6" x14ac:dyDescent="0.25">
      <c r="A1" s="1"/>
      <c r="B1" s="2"/>
      <c r="C1" s="2"/>
      <c r="D1" s="2"/>
      <c r="E1" s="3"/>
    </row>
    <row r="2" spans="1:6" ht="13" x14ac:dyDescent="0.3">
      <c r="A2" s="4" t="s">
        <v>4</v>
      </c>
      <c r="B2" s="5" t="s">
        <v>5</v>
      </c>
      <c r="C2" s="5" t="s">
        <v>6</v>
      </c>
      <c r="D2" s="5" t="s">
        <v>3</v>
      </c>
      <c r="E2" s="6" t="s">
        <v>7</v>
      </c>
      <c r="F2" s="5" t="s">
        <v>10</v>
      </c>
    </row>
    <row r="3" spans="1:6" x14ac:dyDescent="0.25">
      <c r="A3" s="1">
        <v>1</v>
      </c>
      <c r="B3" s="2">
        <f>InitialMortgage</f>
        <v>90000</v>
      </c>
      <c r="C3" s="7">
        <f>-PPMT(Interest,A3,Term,InitialMortgage)</f>
        <v>1759.4417651794649</v>
      </c>
      <c r="D3" s="7">
        <f>-IPMT(Interest,A3,Term,InitialMortgage,0)</f>
        <v>4950</v>
      </c>
      <c r="E3" s="3">
        <f>C3+D3</f>
        <v>6709.4417651794647</v>
      </c>
      <c r="F3" s="3">
        <f>B3-E3</f>
        <v>83290.558234820535</v>
      </c>
    </row>
    <row r="4" spans="1:6" x14ac:dyDescent="0.25">
      <c r="A4" s="1">
        <v>2</v>
      </c>
      <c r="B4" s="2">
        <f>F3</f>
        <v>83290.558234820535</v>
      </c>
      <c r="C4" s="7">
        <f>-PPMT(Inputs!$D$11,A4,25,Inputs!$D$9)</f>
        <v>1856.2110622643349</v>
      </c>
      <c r="D4" s="7">
        <f>-IPMT(Inputs!$D$11,A4,25,Inputs!$D$9)</f>
        <v>4853.2307029151307</v>
      </c>
      <c r="E4" s="3">
        <f t="shared" ref="E4:E27" si="0">C4+D4</f>
        <v>6709.4417651794656</v>
      </c>
      <c r="F4" s="3">
        <f t="shared" ref="F4:F27" si="1">B4-E4</f>
        <v>76581.116469641071</v>
      </c>
    </row>
    <row r="5" spans="1:6" x14ac:dyDescent="0.25">
      <c r="A5" s="1">
        <v>3</v>
      </c>
      <c r="B5" s="2">
        <f t="shared" ref="B5:B20" si="2">B4-C4</f>
        <v>81434.347172556198</v>
      </c>
      <c r="C5" s="7">
        <f>-PPMT(Inputs!$D$11,A5,25,Inputs!$D$9)</f>
        <v>1958.3026706888741</v>
      </c>
      <c r="D5" s="7">
        <f>-IPMT(Inputs!$D$11,A5,25,Inputs!$D$9)</f>
        <v>4751.1390944905916</v>
      </c>
      <c r="E5" s="3">
        <f t="shared" si="0"/>
        <v>6709.4417651794656</v>
      </c>
      <c r="F5" s="3">
        <f t="shared" si="1"/>
        <v>74724.905407376733</v>
      </c>
    </row>
    <row r="6" spans="1:6" x14ac:dyDescent="0.25">
      <c r="A6" s="1">
        <v>4</v>
      </c>
      <c r="B6" s="2">
        <f t="shared" si="2"/>
        <v>79476.04450186732</v>
      </c>
      <c r="C6" s="7">
        <f>-PPMT(Inputs!$D$11,A6,25,Inputs!$D$9)</f>
        <v>2066.0093175767624</v>
      </c>
      <c r="D6" s="7">
        <f>-IPMT(Inputs!$D$11,A6,25,Inputs!$D$9)</f>
        <v>4643.4324476027023</v>
      </c>
      <c r="E6" s="3">
        <f t="shared" si="0"/>
        <v>6709.4417651794647</v>
      </c>
      <c r="F6" s="3">
        <f t="shared" si="1"/>
        <v>72766.602736687855</v>
      </c>
    </row>
    <row r="7" spans="1:6" x14ac:dyDescent="0.25">
      <c r="A7" s="1">
        <v>5</v>
      </c>
      <c r="B7" s="2">
        <f t="shared" si="2"/>
        <v>77410.035184290551</v>
      </c>
      <c r="C7" s="7">
        <f>-PPMT(Inputs!$D$11,A7,25,Inputs!$D$9)</f>
        <v>2179.6398300434835</v>
      </c>
      <c r="D7" s="7">
        <f>-IPMT(Inputs!$D$11,A7,25,Inputs!$D$9)</f>
        <v>4529.8019351359808</v>
      </c>
      <c r="E7" s="3">
        <f t="shared" si="0"/>
        <v>6709.4417651794647</v>
      </c>
      <c r="F7" s="3">
        <f t="shared" si="1"/>
        <v>70700.593419111086</v>
      </c>
    </row>
    <row r="8" spans="1:6" x14ac:dyDescent="0.25">
      <c r="A8" s="1">
        <v>6</v>
      </c>
      <c r="B8" s="2">
        <f t="shared" si="2"/>
        <v>75230.39535424707</v>
      </c>
      <c r="C8" s="7">
        <f>-PPMT(Inputs!$D$11,A8,25,Inputs!$D$9)</f>
        <v>2299.5200206958757</v>
      </c>
      <c r="D8" s="7">
        <f>-IPMT(Inputs!$D$11,A8,25,Inputs!$D$9)</f>
        <v>4409.9217444835895</v>
      </c>
      <c r="E8" s="3">
        <f t="shared" si="0"/>
        <v>6709.4417651794647</v>
      </c>
      <c r="F8" s="3">
        <f t="shared" si="1"/>
        <v>68520.953589067605</v>
      </c>
    </row>
    <row r="9" spans="1:6" x14ac:dyDescent="0.25">
      <c r="A9" s="1">
        <v>7</v>
      </c>
      <c r="B9" s="2">
        <f t="shared" si="2"/>
        <v>72930.875333551201</v>
      </c>
      <c r="C9" s="7">
        <f>-PPMT(Inputs!$D$11,A9,25,Inputs!$D$9)</f>
        <v>2425.9936218341486</v>
      </c>
      <c r="D9" s="7">
        <f>-IPMT(Inputs!$D$11,A9,25,Inputs!$D$9)</f>
        <v>4283.4481433453157</v>
      </c>
      <c r="E9" s="3">
        <f t="shared" si="0"/>
        <v>6709.4417651794647</v>
      </c>
      <c r="F9" s="3">
        <f t="shared" si="1"/>
        <v>66221.433568371736</v>
      </c>
    </row>
    <row r="10" spans="1:6" x14ac:dyDescent="0.25">
      <c r="A10" s="1">
        <v>8</v>
      </c>
      <c r="B10" s="2">
        <f t="shared" si="2"/>
        <v>70504.881711717055</v>
      </c>
      <c r="C10" s="7">
        <f>-PPMT(Inputs!$D$11,A10,25,Inputs!$D$9)</f>
        <v>2559.4232710350266</v>
      </c>
      <c r="D10" s="7">
        <f>-IPMT(Inputs!$D$11,A10,25,Inputs!$D$9)</f>
        <v>4150.0184941444386</v>
      </c>
      <c r="E10" s="3">
        <f t="shared" si="0"/>
        <v>6709.4417651794647</v>
      </c>
      <c r="F10" s="3">
        <f t="shared" si="1"/>
        <v>63795.43994653759</v>
      </c>
    </row>
    <row r="11" spans="1:6" x14ac:dyDescent="0.25">
      <c r="A11" s="1">
        <v>9</v>
      </c>
      <c r="B11" s="2">
        <f t="shared" si="2"/>
        <v>67945.458440682021</v>
      </c>
      <c r="C11" s="7">
        <f>-PPMT(Inputs!$D$11,A11,25,Inputs!$D$9)</f>
        <v>2700.1915509419528</v>
      </c>
      <c r="D11" s="7">
        <f>-IPMT(Inputs!$D$11,A11,25,Inputs!$D$9)</f>
        <v>4009.2502142375129</v>
      </c>
      <c r="E11" s="3">
        <f t="shared" si="0"/>
        <v>6709.4417651794656</v>
      </c>
      <c r="F11" s="3">
        <f t="shared" si="1"/>
        <v>61236.016675502557</v>
      </c>
    </row>
    <row r="12" spans="1:6" x14ac:dyDescent="0.25">
      <c r="A12" s="1">
        <v>10</v>
      </c>
      <c r="B12" s="2">
        <f t="shared" si="2"/>
        <v>65245.266889740065</v>
      </c>
      <c r="C12" s="7">
        <f>-PPMT(Inputs!$D$11,A12,25,Inputs!$D$9)</f>
        <v>2848.7020862437603</v>
      </c>
      <c r="D12" s="7">
        <f>-IPMT(Inputs!$D$11,A12,25,Inputs!$D$9)</f>
        <v>3860.7396789357049</v>
      </c>
      <c r="E12" s="3">
        <f t="shared" si="0"/>
        <v>6709.4417651794647</v>
      </c>
      <c r="F12" s="3">
        <f t="shared" si="1"/>
        <v>58535.825124560601</v>
      </c>
    </row>
    <row r="13" spans="1:6" x14ac:dyDescent="0.25">
      <c r="A13" s="1">
        <v>11</v>
      </c>
      <c r="B13" s="2">
        <f t="shared" si="2"/>
        <v>62396.564803496309</v>
      </c>
      <c r="C13" s="7">
        <f>-PPMT(Inputs!$D$11,A13,25,Inputs!$D$9)</f>
        <v>3005.3807009871675</v>
      </c>
      <c r="D13" s="7">
        <f>-IPMT(Inputs!$D$11,A13,25,Inputs!$D$9)</f>
        <v>3704.0610641922985</v>
      </c>
      <c r="E13" s="3">
        <f t="shared" si="0"/>
        <v>6709.4417651794665</v>
      </c>
      <c r="F13" s="3">
        <f t="shared" si="1"/>
        <v>55687.123038316844</v>
      </c>
    </row>
    <row r="14" spans="1:6" x14ac:dyDescent="0.25">
      <c r="A14" s="1">
        <v>12</v>
      </c>
      <c r="B14" s="2">
        <f t="shared" si="2"/>
        <v>59391.184102509142</v>
      </c>
      <c r="C14" s="7">
        <f>-PPMT(Inputs!$D$11,A14,25,Inputs!$D$9)</f>
        <v>3170.6766395414616</v>
      </c>
      <c r="D14" s="7">
        <f>-IPMT(Inputs!$D$11,A14,25,Inputs!$D$9)</f>
        <v>3538.7651256380041</v>
      </c>
      <c r="E14" s="3">
        <f t="shared" si="0"/>
        <v>6709.4417651794656</v>
      </c>
      <c r="F14" s="3">
        <f t="shared" si="1"/>
        <v>52681.742337329677</v>
      </c>
    </row>
    <row r="15" spans="1:6" x14ac:dyDescent="0.25">
      <c r="A15" s="1">
        <v>13</v>
      </c>
      <c r="B15" s="2">
        <f t="shared" si="2"/>
        <v>56220.507462967682</v>
      </c>
      <c r="C15" s="7">
        <f>-PPMT(Inputs!$D$11,A15,25,Inputs!$D$9)</f>
        <v>3345.0638547162421</v>
      </c>
      <c r="D15" s="7">
        <f>-IPMT(Inputs!$D$11,A15,25,Inputs!$D$9)</f>
        <v>3364.3779104632235</v>
      </c>
      <c r="E15" s="3">
        <f t="shared" si="0"/>
        <v>6709.4417651794656</v>
      </c>
      <c r="F15" s="3">
        <f t="shared" si="1"/>
        <v>49511.065697788217</v>
      </c>
    </row>
    <row r="16" spans="1:6" x14ac:dyDescent="0.25">
      <c r="A16" s="1">
        <v>14</v>
      </c>
      <c r="B16" s="2">
        <f t="shared" si="2"/>
        <v>52875.443608251437</v>
      </c>
      <c r="C16" s="7">
        <f>-PPMT(Inputs!$D$11,A16,25,Inputs!$D$9)</f>
        <v>3529.042366725635</v>
      </c>
      <c r="D16" s="7">
        <f>-IPMT(Inputs!$D$11,A16,25,Inputs!$D$9)</f>
        <v>3180.3993984538297</v>
      </c>
      <c r="E16" s="3">
        <f t="shared" si="0"/>
        <v>6709.4417651794647</v>
      </c>
      <c r="F16" s="3">
        <f t="shared" si="1"/>
        <v>46166.001843071972</v>
      </c>
    </row>
    <row r="17" spans="1:6" x14ac:dyDescent="0.25">
      <c r="A17" s="1">
        <v>15</v>
      </c>
      <c r="B17" s="2">
        <f t="shared" si="2"/>
        <v>49346.401241525804</v>
      </c>
      <c r="C17" s="7">
        <f>-PPMT(Inputs!$D$11,A17,25,Inputs!$D$9)</f>
        <v>3723.1396968955451</v>
      </c>
      <c r="D17" s="7">
        <f>-IPMT(Inputs!$D$11,A17,25,Inputs!$D$9)</f>
        <v>2986.3020682839201</v>
      </c>
      <c r="E17" s="3">
        <f t="shared" si="0"/>
        <v>6709.4417651794647</v>
      </c>
      <c r="F17" s="3">
        <f t="shared" si="1"/>
        <v>42636.959476346339</v>
      </c>
    </row>
    <row r="18" spans="1:6" x14ac:dyDescent="0.25">
      <c r="A18" s="1">
        <v>16</v>
      </c>
      <c r="B18" s="2">
        <f t="shared" si="2"/>
        <v>45623.261544630259</v>
      </c>
      <c r="C18" s="7">
        <f>-PPMT(Inputs!$D$11,A18,25,Inputs!$D$9)</f>
        <v>3927.9123802248</v>
      </c>
      <c r="D18" s="7">
        <f>-IPMT(Inputs!$D$11,A18,25,Inputs!$D$9)</f>
        <v>2781.5293849546656</v>
      </c>
      <c r="E18" s="3">
        <f t="shared" si="0"/>
        <v>6709.4417651794656</v>
      </c>
      <c r="F18" s="3">
        <f t="shared" si="1"/>
        <v>38913.819779450794</v>
      </c>
    </row>
    <row r="19" spans="1:6" x14ac:dyDescent="0.25">
      <c r="A19" s="1">
        <v>17</v>
      </c>
      <c r="B19" s="2">
        <f t="shared" si="2"/>
        <v>41695.349164405459</v>
      </c>
      <c r="C19" s="7">
        <f>-PPMT(Inputs!$D$11,A19,25,Inputs!$D$9)</f>
        <v>4143.9475611371645</v>
      </c>
      <c r="D19" s="7">
        <f>-IPMT(Inputs!$D$11,A19,25,Inputs!$D$9)</f>
        <v>2565.4942040423016</v>
      </c>
      <c r="E19" s="3">
        <f t="shared" si="0"/>
        <v>6709.4417651794665</v>
      </c>
      <c r="F19" s="3">
        <f t="shared" si="1"/>
        <v>34985.907399225995</v>
      </c>
    </row>
    <row r="20" spans="1:6" x14ac:dyDescent="0.25">
      <c r="A20" s="1">
        <v>18</v>
      </c>
      <c r="B20" s="2">
        <f t="shared" si="2"/>
        <v>37551.401603268292</v>
      </c>
      <c r="C20" s="7">
        <f>-PPMT(Inputs!$D$11,A20,25,Inputs!$D$9)</f>
        <v>4371.8646769997076</v>
      </c>
      <c r="D20" s="7">
        <f>-IPMT(Inputs!$D$11,A20,25,Inputs!$D$9)</f>
        <v>2337.5770881797571</v>
      </c>
      <c r="E20" s="3">
        <f t="shared" si="0"/>
        <v>6709.4417651794647</v>
      </c>
      <c r="F20" s="3">
        <f t="shared" si="1"/>
        <v>30841.959838088827</v>
      </c>
    </row>
    <row r="21" spans="1:6" x14ac:dyDescent="0.25">
      <c r="A21" s="1">
        <v>19</v>
      </c>
      <c r="B21" s="2">
        <f t="shared" ref="B21:B27" si="3">B20-C20</f>
        <v>33179.536926268585</v>
      </c>
      <c r="C21" s="7">
        <f>-PPMT(Inputs!$D$11,A21,25,Inputs!$D$9)</f>
        <v>4612.3172342346916</v>
      </c>
      <c r="D21" s="7">
        <f>-IPMT(Inputs!$D$11,A21,25,Inputs!$D$9)</f>
        <v>2097.1245309447731</v>
      </c>
      <c r="E21" s="3">
        <f t="shared" si="0"/>
        <v>6709.4417651794647</v>
      </c>
      <c r="F21" s="3">
        <f t="shared" si="1"/>
        <v>26470.095161089121</v>
      </c>
    </row>
    <row r="22" spans="1:6" x14ac:dyDescent="0.25">
      <c r="A22" s="1">
        <v>20</v>
      </c>
      <c r="B22" s="2">
        <f t="shared" si="3"/>
        <v>28567.219692033894</v>
      </c>
      <c r="C22" s="7">
        <f>-PPMT(Inputs!$D$11,A22,25,Inputs!$D$9)</f>
        <v>4865.9946821176</v>
      </c>
      <c r="D22" s="7">
        <f>-IPMT(Inputs!$D$11,A22,25,Inputs!$D$9)</f>
        <v>1843.4470830618657</v>
      </c>
      <c r="E22" s="3">
        <f t="shared" si="0"/>
        <v>6709.4417651794656</v>
      </c>
      <c r="F22" s="3">
        <f t="shared" si="1"/>
        <v>21857.777926854429</v>
      </c>
    </row>
    <row r="23" spans="1:6" x14ac:dyDescent="0.25">
      <c r="A23" s="1">
        <v>21</v>
      </c>
      <c r="B23" s="2">
        <f t="shared" si="3"/>
        <v>23701.225009916292</v>
      </c>
      <c r="C23" s="7">
        <f>-PPMT(Inputs!$D$11,A23,25,Inputs!$D$9)</f>
        <v>5133.6243896340675</v>
      </c>
      <c r="D23" s="7">
        <f>-IPMT(Inputs!$D$11,A23,25,Inputs!$D$9)</f>
        <v>1575.8173755453975</v>
      </c>
      <c r="E23" s="3">
        <f t="shared" si="0"/>
        <v>6709.4417651794647</v>
      </c>
      <c r="F23" s="3">
        <f t="shared" si="1"/>
        <v>16991.783244736827</v>
      </c>
    </row>
    <row r="24" spans="1:6" x14ac:dyDescent="0.25">
      <c r="A24" s="1">
        <v>22</v>
      </c>
      <c r="B24" s="2">
        <f t="shared" si="3"/>
        <v>18567.600620282225</v>
      </c>
      <c r="C24" s="7">
        <f>-PPMT(Inputs!$D$11,A24,25,Inputs!$D$9)</f>
        <v>5415.9737310639421</v>
      </c>
      <c r="D24" s="7">
        <f>-IPMT(Inputs!$D$11,A24,25,Inputs!$D$9)</f>
        <v>1293.4680341155236</v>
      </c>
      <c r="E24" s="3">
        <f t="shared" si="0"/>
        <v>6709.4417651794656</v>
      </c>
      <c r="F24" s="3">
        <f t="shared" si="1"/>
        <v>11858.15885510276</v>
      </c>
    </row>
    <row r="25" spans="1:6" x14ac:dyDescent="0.25">
      <c r="A25" s="1">
        <v>23</v>
      </c>
      <c r="B25" s="2">
        <f t="shared" si="3"/>
        <v>13151.626889218282</v>
      </c>
      <c r="C25" s="7">
        <f>-PPMT(Inputs!$D$11,A25,25,Inputs!$D$9)</f>
        <v>5713.8522862724585</v>
      </c>
      <c r="D25" s="7">
        <f>-IPMT(Inputs!$D$11,A25,25,Inputs!$D$9)</f>
        <v>995.58947890700688</v>
      </c>
      <c r="E25" s="3">
        <f t="shared" si="0"/>
        <v>6709.4417651794656</v>
      </c>
      <c r="F25" s="3">
        <f t="shared" si="1"/>
        <v>6442.185124038816</v>
      </c>
    </row>
    <row r="26" spans="1:6" x14ac:dyDescent="0.25">
      <c r="A26" s="1">
        <v>24</v>
      </c>
      <c r="B26" s="2">
        <f t="shared" si="3"/>
        <v>7437.7746029458231</v>
      </c>
      <c r="C26" s="7">
        <f>-PPMT(Inputs!$D$11,A26,25,Inputs!$D$9)</f>
        <v>6028.114162017443</v>
      </c>
      <c r="D26" s="7">
        <f>-IPMT(Inputs!$D$11,A26,25,Inputs!$D$9)</f>
        <v>681.32760316202155</v>
      </c>
      <c r="E26" s="3">
        <f t="shared" si="0"/>
        <v>6709.4417651794647</v>
      </c>
      <c r="F26" s="3">
        <f t="shared" si="1"/>
        <v>728.33283776635835</v>
      </c>
    </row>
    <row r="27" spans="1:6" x14ac:dyDescent="0.25">
      <c r="A27" s="1">
        <v>25</v>
      </c>
      <c r="B27" s="2">
        <f t="shared" si="3"/>
        <v>1409.66044092838</v>
      </c>
      <c r="C27" s="7">
        <f>-PPMT(Inputs!$D$11,A27,25,Inputs!$D$9)</f>
        <v>6359.6604409284027</v>
      </c>
      <c r="D27" s="7">
        <f>-IPMT(Inputs!$D$11,A27,25,Inputs!$D$9)</f>
        <v>349.78132425106213</v>
      </c>
      <c r="E27" s="3">
        <f t="shared" si="0"/>
        <v>6709.4417651794647</v>
      </c>
      <c r="F27" s="3">
        <f t="shared" si="1"/>
        <v>-5299.7813242510847</v>
      </c>
    </row>
  </sheetData>
  <phoneticPr fontId="0" type="noConversion"/>
  <printOptions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10"/>
  <sheetViews>
    <sheetView workbookViewId="0">
      <selection activeCell="A10" sqref="A10"/>
    </sheetView>
  </sheetViews>
  <sheetFormatPr defaultRowHeight="12.5" x14ac:dyDescent="0.25"/>
  <cols>
    <col min="1" max="1" width="14.1796875" bestFit="1" customWidth="1"/>
  </cols>
  <sheetData>
    <row r="1" spans="1:1" x14ac:dyDescent="0.25">
      <c r="A1" t="s">
        <v>19</v>
      </c>
    </row>
    <row r="2" spans="1:1" x14ac:dyDescent="0.25">
      <c r="A2" t="s">
        <v>12</v>
      </c>
    </row>
    <row r="3" spans="1:1" x14ac:dyDescent="0.25">
      <c r="A3" t="s">
        <v>13</v>
      </c>
    </row>
    <row r="4" spans="1:1" x14ac:dyDescent="0.25">
      <c r="A4" t="s">
        <v>14</v>
      </c>
    </row>
    <row r="5" spans="1:1" x14ac:dyDescent="0.25">
      <c r="A5" t="s">
        <v>15</v>
      </c>
    </row>
    <row r="6" spans="1:1" x14ac:dyDescent="0.25">
      <c r="A6" t="s">
        <v>16</v>
      </c>
    </row>
    <row r="7" spans="1:1" x14ac:dyDescent="0.25">
      <c r="A7" t="s">
        <v>17</v>
      </c>
    </row>
    <row r="8" spans="1:1" x14ac:dyDescent="0.25">
      <c r="A8" t="s">
        <v>18</v>
      </c>
    </row>
    <row r="9" spans="1:1" x14ac:dyDescent="0.25">
      <c r="A9" t="s">
        <v>19</v>
      </c>
    </row>
    <row r="10" spans="1:1" x14ac:dyDescent="0.25">
      <c r="A10" t="s">
        <v>20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Inputs</vt:lpstr>
      <vt:lpstr>Annual repayments</vt:lpstr>
      <vt:lpstr>Regions</vt:lpstr>
      <vt:lpstr>Deposit</vt:lpstr>
      <vt:lpstr>HousePrice</vt:lpstr>
      <vt:lpstr>InitialMortgage</vt:lpstr>
      <vt:lpstr>Interest</vt:lpstr>
      <vt:lpstr>Region_of_country</vt:lpstr>
      <vt:lpstr>Term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Wise Owl Training</dc:creator>
  <cp:lastModifiedBy>Kanimozhi</cp:lastModifiedBy>
  <dcterms:created xsi:type="dcterms:W3CDTF">1998-08-26T09:01:21Z</dcterms:created>
  <dcterms:modified xsi:type="dcterms:W3CDTF">2022-01-28T13:22:58Z</dcterms:modified>
</cp:coreProperties>
</file>